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sults" sheetId="2" state="visible" r:id="rId4"/>
    <sheet name="Findings" sheetId="3" state="visible" r:id="rId5"/>
  </sheets>
  <definedNames>
    <definedName function="false" hidden="true" localSheetId="1" name="_xlnm._FilterDatabase" vbProcedure="false">Results!$A$4:$T$19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<sst xmlns="http://schemas.openxmlformats.org/spreadsheetml/2006/main" count="203" uniqueCount="95">
  <si>
    <t xml:space="preserve">DrainTarPit water-pool volume tests: summary</t>
  </si>
  <si>
    <t xml:space="preserve">Verdict: with the default config at the low site, the pool loses nearly all its water within ~25 s of the last pour. At the high site, and with PoolShedFilm off, it holds 100%.</t>
  </si>
  <si>
    <t xml:space="preserve">Inputs (edit the yellow cells)</t>
  </si>
  <si>
    <t xml:space="preserve">Pass threshold: final volume as share of poured</t>
  </si>
  <si>
    <t xml:space="preserve">Assumption chosen by me; every run was either ~100% or below 50%.</t>
  </si>
  <si>
    <t xml:space="preserve">Low-site cutoff: terrain above sea (m), below this = low site</t>
  </si>
  <si>
    <t xml:space="preserve">Assumption: the logs show two clusters, 3.3-4.0 m and 11.8 m. The true cutoff is unknown.</t>
  </si>
  <si>
    <t xml:space="preserve">Headline numbers</t>
  </si>
  <si>
    <t xml:space="preserve">Total runs</t>
  </si>
  <si>
    <t xml:space="preserve">Runs that hold the water</t>
  </si>
  <si>
    <t xml:space="preserve">Runs that lose water</t>
  </si>
  <si>
    <t xml:space="preserve">Avg kept after last stroke, losing runs</t>
  </si>
  <si>
    <t xml:space="preserve">Avg final volume, losing runs</t>
  </si>
  <si>
    <t xml:space="preserve">Worst final volume (any run)</t>
  </si>
  <si>
    <t xml:space="preserve">Low-site runs</t>
  </si>
  <si>
    <t xml:space="preserve">Low-site runs that lose water</t>
  </si>
  <si>
    <t xml:space="preserve">High-site runs that lose water</t>
  </si>
  <si>
    <t xml:space="preserve">Runs where the hypothesis matches the outcome</t>
  </si>
  <si>
    <t xml:space="preserve">Low-site runs by mode and PoolShedFilm</t>
  </si>
  <si>
    <t xml:space="preserve">Mode / PoolShedFilm</t>
  </si>
  <si>
    <t xml:space="preserve">Runs</t>
  </si>
  <si>
    <t xml:space="preserve">Runs losing water</t>
  </si>
  <si>
    <t xml:space="preserve">Flood + shed On</t>
  </si>
  <si>
    <t xml:space="preserve">Flood + shed Off</t>
  </si>
  <si>
    <t xml:space="preserve">Inject + shed On</t>
  </si>
  <si>
    <t xml:space="preserve">Inject + shed Off</t>
  </si>
  <si>
    <t xml:space="preserve">Flood + shed on is the only combination that loses water. The one exception (Single 3) also had PoolWalls and PoolRunoff off, so shed film needs at least one of those on.</t>
  </si>
  <si>
    <t xml:space="preserve">DrainTarPit tank-flood tests, 2026-10-18 (dll built 14:42:47)</t>
  </si>
  <si>
    <t xml:space="preserve">Source: [ptest] TANK RESULT lines in the BepInEx log, 16:04-16:15. Blue = value copied from the log; black = formula. 'Level spikes' judged from the log's 'spread' column (single-sample jumps in level).</t>
  </si>
  <si>
    <t xml:space="preserve">Run</t>
  </si>
  <si>
    <t xml:space="preserve">Test</t>
  </si>
  <si>
    <t xml:space="preserve">Site terrain above sea (m)</t>
  </si>
  <si>
    <t xml:space="preserve">Wall cells</t>
  </si>
  <si>
    <t xml:space="preserve">Mode</t>
  </si>
  <si>
    <t xml:space="preserve">WaterFlow</t>
  </si>
  <si>
    <t xml:space="preserve">PitFlowBoost</t>
  </si>
  <si>
    <t xml:space="preserve">PoolWalls</t>
  </si>
  <si>
    <t xml:space="preserve">PoolOverflow</t>
  </si>
  <si>
    <t xml:space="preserve">PoolShedFilm</t>
  </si>
  <si>
    <t xml:space="preserve">PoolRunoff</t>
  </si>
  <si>
    <t xml:space="preserve">Poured (m3)</t>
  </si>
  <si>
    <t xml:space="preserve">Kept after last stroke (m3)</t>
  </si>
  <si>
    <t xml:space="preserve">Final after 25 s (m3)</t>
  </si>
  <si>
    <t xml:space="preserve">Kept %</t>
  </si>
  <si>
    <t xml:space="preserve">Final %</t>
  </si>
  <si>
    <t xml:space="preserve">Outcome</t>
  </si>
  <si>
    <t xml:space="preserve">Level spikes seen</t>
  </si>
  <si>
    <t xml:space="preserve">Hypothesis: loss conditions met</t>
  </si>
  <si>
    <t xml:space="preserve">Hypothesis vs outcome</t>
  </si>
  <si>
    <t xml:space="preserve">Single 1</t>
  </si>
  <si>
    <t xml:space="preserve">Default config</t>
  </si>
  <si>
    <t xml:space="preserve">Flood</t>
  </si>
  <si>
    <t xml:space="preserve">On</t>
  </si>
  <si>
    <t xml:space="preserve">Yes</t>
  </si>
  <si>
    <t xml:space="preserve">Single 2</t>
  </si>
  <si>
    <t xml:space="preserve">Single 3</t>
  </si>
  <si>
    <t xml:space="preserve">PoolWalls and PoolRunoff off</t>
  </si>
  <si>
    <t xml:space="preserve">Off</t>
  </si>
  <si>
    <t xml:space="preserve">No</t>
  </si>
  <si>
    <t xml:space="preserve">Matrix 1</t>
  </si>
  <si>
    <t xml:space="preserve">A default flood</t>
  </si>
  <si>
    <t xml:space="preserve">B default inject</t>
  </si>
  <si>
    <t xml:space="preserve">Inject</t>
  </si>
  <si>
    <t xml:space="preserve">C no shed, flood</t>
  </si>
  <si>
    <t xml:space="preserve">D no shed, no boost, flood</t>
  </si>
  <si>
    <t xml:space="preserve">E no shed, no boost, slow flow, inject</t>
  </si>
  <si>
    <t xml:space="preserve">F no shed, no overflow, no runoff, flood</t>
  </si>
  <si>
    <t xml:space="preserve">Matrix 2</t>
  </si>
  <si>
    <t xml:space="preserve">Note: the 'Hypothesis' columns encode a guess fitted to these 15 runs (flood mode + PoolShedFilm on + (PoolWalls or PoolRunoff on) + site below the low-site cutoff on Summary). It matches all runs but is not proven; see Findings.</t>
  </si>
  <si>
    <t xml:space="preserve">Findings, caveats and next tests</t>
  </si>
  <si>
    <t xml:space="preserve">Section</t>
  </si>
  <si>
    <t xml:space="preserve">Point</t>
  </si>
  <si>
    <t xml:space="preserve">What loses water</t>
  </si>
  <si>
    <t xml:space="preserve">In failing runs the pool decays about 25% per second, in steps ('DROP ... without a pour'). Only 0.1-0.5 m3 of 48 m3 is left at the end.</t>
  </si>
  <si>
    <t xml:space="preserve">In matrix 2 test A the pool collapses at t=18 s: cell count jumps from 441 to 8680 and spill4 falls from 39.1 to 32.6, so the walls hold nothing. This is the 'back to ground level' symptom.</t>
  </si>
  <si>
    <t xml:space="preserve">The mod's own budget reports 'stayed 48.00 ... lost 0.00 shedEdge 0.00', so the volume leaves through a path the mod does not count.</t>
  </si>
  <si>
    <t xml:space="preserve">Trigger</t>
  </si>
  <si>
    <t xml:space="preserve">Turning PoolShedFilm off (matrix 2 C) fixes it. Inject mode (matrix 2 B) is fine even with shed on. So the loss needs PoolShedFilm on in flood mode.</t>
  </si>
  <si>
    <t xml:space="preserve">Single 3 had shed on and flood mode but also PoolWalls and PoolRunoff off, and it held 100%. So shed also needs PoolWalls or PoolRunoff on.</t>
  </si>
  <si>
    <t xml:space="preserve">Site matters: at the high site (699-709 wall cells) even the default config held; at the low site (2378-3905 wall cells) it failed.</t>
  </si>
  <si>
    <t xml:space="preserve">Second problem</t>
  </si>
  <si>
    <t xml:space="preserve">At the low site with PoolWalls on, the level column briefly jumps 0.1-1.7 m about once a second, even when no volume is lost. Not seen with PoolWalls off or at the high site. Unknown whether it is a real one-cell spike or a measurement artifact.</t>
  </si>
  <si>
    <t xml:space="preserve">'Final level rise' values (2.26, 1.94, 1.82) are single samples caught on a spike. Trust the volume columns instead.</t>
  </si>
  <si>
    <t xml:space="preserve">Caveat</t>
  </si>
  <si>
    <t xml:space="preserve">In matrix 2, test A ran about 5 m from tests B-F, so A vs C is not perfectly clean. Singles 1 and 2 ran near the B-F site and also failed on default, which supports the result.</t>
  </si>
  <si>
    <t xml:space="preserve">PoolShedFilm may be what removes the thin film at the pool edge (assumption from the name and PoolFilmDepth=0.05). If so, turning it off as a default brings back the look you disliked; the fix belongs in the shed code.</t>
  </si>
  <si>
    <t xml:space="preserve">The hypothesis columns on Results are fitted to 15 runs. Treat as a lead, not a result.</t>
  </si>
  <si>
    <t xml:space="preserve">Next test 1</t>
  </si>
  <si>
    <t xml:space="preserve">Default config but PoolRunoff off, at one fixed low-site position, flood mode.</t>
  </si>
  <si>
    <t xml:space="preserve">Next test 2</t>
  </si>
  <si>
    <t xml:space="preserve">Default config but PoolWalls off, same position, flood mode.</t>
  </si>
  <si>
    <t xml:space="preserve">Next test 3</t>
  </si>
  <si>
    <t xml:space="preserve">Default config run twice at that position to confirm the failure repeats.</t>
  </si>
  <si>
    <t xml:space="preserve">Next test 4</t>
  </si>
  <si>
    <t xml:space="preserve">Log the volume removed per call in the shed pass; the budget currently reads 0.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</si>
</sst>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"/>
    <numFmt numFmtId="167" formatCode="0"/>
    <numFmt numFmtId="168" formatCode="0.0%"/>
    <numFmt numFmtId="169" formatCode="0.00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6" customFormat="false" ht="25.5" hidden="false" customHeight="true" outlineLevel="0" collapsed="false">
      <c r="A6" s="0" t="s">
        <v>3</v>
      </c>
      <c r="B6" s="4" t="n">
        <v>0.95</v>
      </c>
      <c r="C6" s="5" t="s">
        <v>4</v>
      </c>
    </row>
    <row r="7" customFormat="false" ht="37.5" hidden="false" customHeight="true" outlineLevel="0" collapsed="false">
      <c r="A7" s="0" t="s">
        <v>5</v>
      </c>
      <c r="B7" s="6" t="n">
        <v>5</v>
      </c>
      <c r="C7" s="5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7" t="s">
        <v>8</v>
      </c>
      <c r="B10" s="8" t="n">
        <f aca="false">COUNTA(Results!$A$5:$A$19)</f>
        <v>15</v>
      </c>
    </row>
    <row r="11" customFormat="false" ht="15" hidden="false" customHeight="false" outlineLevel="0" collapsed="false">
      <c r="A11" s="7" t="s">
        <v>9</v>
      </c>
      <c r="B11" s="8" t="n">
        <f aca="false">COUNTIF(Results!$Q$5:$Q$19,"Holds")</f>
        <v>12</v>
      </c>
    </row>
    <row r="12" customFormat="false" ht="15" hidden="false" customHeight="false" outlineLevel="0" collapsed="false">
      <c r="A12" s="7" t="s">
        <v>10</v>
      </c>
      <c r="B12" s="8" t="n">
        <f aca="false">COUNTIF(Results!$Q$5:$Q$19,"Loses water")</f>
        <v>3</v>
      </c>
    </row>
    <row r="13" customFormat="false" ht="15" hidden="false" customHeight="false" outlineLevel="0" collapsed="false">
      <c r="A13" s="7" t="s">
        <v>11</v>
      </c>
      <c r="B13" s="9" t="n">
        <f aca="false">IFERROR(AVERAGEIFS(Results!$O$5:$O$19,Results!$Q$5:$Q$19,"Loses water"),0)</f>
        <v>0.408680555555556</v>
      </c>
    </row>
    <row r="14" customFormat="false" ht="15" hidden="false" customHeight="false" outlineLevel="0" collapsed="false">
      <c r="A14" s="7" t="s">
        <v>12</v>
      </c>
      <c r="B14" s="9" t="n">
        <f aca="false">IFERROR(AVERAGEIFS(Results!$P$5:$P$19,Results!$Q$5:$Q$19,"Loses water"),0)</f>
        <v>0.005</v>
      </c>
    </row>
    <row r="15" customFormat="false" ht="15" hidden="false" customHeight="false" outlineLevel="0" collapsed="false">
      <c r="A15" s="7" t="s">
        <v>13</v>
      </c>
      <c r="B15" s="9" t="n">
        <f aca="false">MIN(Results!$P$5:$P$19)</f>
        <v>0.001875</v>
      </c>
    </row>
    <row r="16" customFormat="false" ht="15" hidden="false" customHeight="false" outlineLevel="0" collapsed="false">
      <c r="A16" s="7" t="s">
        <v>14</v>
      </c>
      <c r="B16" s="8" t="n">
        <f aca="false">COUNTIF(Results!$C$5:$C$19,"&lt;"&amp;$B$7)</f>
        <v>9</v>
      </c>
    </row>
    <row r="17" customFormat="false" ht="15" hidden="false" customHeight="false" outlineLevel="0" collapsed="false">
      <c r="A17" s="7" t="s">
        <v>15</v>
      </c>
      <c r="B17" s="8" t="n">
        <f aca="false">COUNTIFS(Results!$C$5:$C$19,"&lt;"&amp;$B$7,Results!$Q$5:$Q$19,"Loses water")</f>
        <v>3</v>
      </c>
    </row>
    <row r="18" customFormat="false" ht="15" hidden="false" customHeight="false" outlineLevel="0" collapsed="false">
      <c r="A18" s="7" t="s">
        <v>16</v>
      </c>
      <c r="B18" s="8" t="n">
        <f aca="false">COUNTIFS(Results!$C$5:$C$19,"&gt;="&amp;$B$7,Results!$Q$5:$Q$19,"Loses water")</f>
        <v>0</v>
      </c>
    </row>
    <row r="19" customFormat="false" ht="15" hidden="false" customHeight="false" outlineLevel="0" collapsed="false">
      <c r="A19" s="7" t="s">
        <v>17</v>
      </c>
      <c r="B19" s="8" t="n">
        <f aca="false">COUNTIF(Results!$T$5:$T$19,"Match")</f>
        <v>15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10" t="s">
        <v>19</v>
      </c>
      <c r="B23" s="10" t="s">
        <v>20</v>
      </c>
      <c r="C23" s="10" t="s">
        <v>21</v>
      </c>
    </row>
    <row r="24" customFormat="false" ht="15" hidden="false" customHeight="false" outlineLevel="0" collapsed="false">
      <c r="A24" s="11" t="s">
        <v>22</v>
      </c>
      <c r="B24" s="11" t="n">
        <f aca="false">COUNTIFS(Results!$C$5:$C$19,"&lt;"&amp;$B$7,Results!$E$5:$E$19,"Flood",Results!$J$5:$J$19,"On")</f>
        <v>4</v>
      </c>
      <c r="C24" s="11" t="n">
        <f aca="false">COUNTIFS(Results!$C$5:$C$19,"&lt;"&amp;$B$7,Results!$E$5:$E$19,"Flood",Results!$J$5:$J$19,"On",Results!$Q$5:$Q$19,"Loses water")</f>
        <v>3</v>
      </c>
    </row>
    <row r="25" customFormat="false" ht="15" hidden="false" customHeight="false" outlineLevel="0" collapsed="false">
      <c r="A25" s="11" t="s">
        <v>23</v>
      </c>
      <c r="B25" s="11" t="n">
        <f aca="false">COUNTIFS(Results!$C$5:$C$19,"&lt;"&amp;$B$7,Results!$E$5:$E$19,"Flood",Results!$J$5:$J$19,"Off")</f>
        <v>3</v>
      </c>
      <c r="C25" s="11" t="n">
        <f aca="false">COUNTIFS(Results!$C$5:$C$19,"&lt;"&amp;$B$7,Results!$E$5:$E$19,"Flood",Results!$J$5:$J$19,"Off",Results!$Q$5:$Q$19,"Loses water")</f>
        <v>0</v>
      </c>
    </row>
    <row r="26" customFormat="false" ht="15" hidden="false" customHeight="false" outlineLevel="0" collapsed="false">
      <c r="A26" s="11" t="s">
        <v>24</v>
      </c>
      <c r="B26" s="11" t="n">
        <f aca="false">COUNTIFS(Results!$C$5:$C$19,"&lt;"&amp;$B$7,Results!$E$5:$E$19,"Inject",Results!$J$5:$J$19,"On")</f>
        <v>1</v>
      </c>
      <c r="C26" s="11" t="n">
        <f aca="false">COUNTIFS(Results!$C$5:$C$19,"&lt;"&amp;$B$7,Results!$E$5:$E$19,"Inject",Results!$J$5:$J$19,"On",Results!$Q$5:$Q$19,"Loses water")</f>
        <v>0</v>
      </c>
    </row>
    <row r="27" customFormat="false" ht="15" hidden="false" customHeight="false" outlineLevel="0" collapsed="false">
      <c r="A27" s="11" t="s">
        <v>25</v>
      </c>
      <c r="B27" s="11" t="n">
        <f aca="false">COUNTIFS(Results!$C$5:$C$19,"&lt;"&amp;$B$7,Results!$E$5:$E$19,"Inject",Results!$J$5:$J$19,"Off")</f>
        <v>1</v>
      </c>
      <c r="C27" s="11" t="n">
        <f aca="false">COUNTIFS(Results!$C$5:$C$19,"&lt;"&amp;$B$7,Results!$E$5:$E$19,"Inject",Results!$J$5:$J$19,"Off",Results!$Q$5:$Q$19,"Loses water")</f>
        <v>0</v>
      </c>
    </row>
    <row r="29" customFormat="false" ht="39.75" hidden="false" customHeight="true" outlineLevel="0" collapsed="false">
      <c r="A29" s="12" t="s">
        <v>26</v>
      </c>
      <c r="B29" s="12"/>
      <c r="C29" s="12"/>
      <c r="D29" s="12"/>
    </row>
  </sheetData>
  <mergeCells count="2">
    <mergeCell ref="A2:D2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6" min="15" style="0" width="9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6"/>
    <col collapsed="false" customWidth="true" hidden="false" outlineLevel="0" max="20" min="20" style="0" width="15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13" t="s">
        <v>28</v>
      </c>
    </row>
    <row r="4" customFormat="false" ht="54" hidden="false" customHeight="true" outlineLevel="0" collapsed="false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  <c r="K4" s="10" t="s">
        <v>39</v>
      </c>
      <c r="L4" s="10" t="s">
        <v>40</v>
      </c>
      <c r="M4" s="10" t="s">
        <v>41</v>
      </c>
      <c r="N4" s="10" t="s">
        <v>42</v>
      </c>
      <c r="O4" s="10" t="s">
        <v>43</v>
      </c>
      <c r="P4" s="10" t="s">
        <v>44</v>
      </c>
      <c r="Q4" s="10" t="s">
        <v>45</v>
      </c>
      <c r="R4" s="10" t="s">
        <v>46</v>
      </c>
      <c r="S4" s="10" t="s">
        <v>47</v>
      </c>
      <c r="T4" s="10" t="s">
        <v>48</v>
      </c>
    </row>
    <row r="5" customFormat="false" ht="15" hidden="false" customHeight="false" outlineLevel="0" collapsed="false">
      <c r="A5" s="11" t="s">
        <v>49</v>
      </c>
      <c r="B5" s="11" t="s">
        <v>50</v>
      </c>
      <c r="C5" s="14" t="n">
        <v>3.97</v>
      </c>
      <c r="D5" s="15" t="n">
        <v>2719</v>
      </c>
      <c r="E5" s="16" t="s">
        <v>51</v>
      </c>
      <c r="F5" s="16" t="n">
        <v>4</v>
      </c>
      <c r="G5" s="16" t="n">
        <v>9</v>
      </c>
      <c r="H5" s="16" t="s">
        <v>52</v>
      </c>
      <c r="I5" s="16" t="s">
        <v>52</v>
      </c>
      <c r="J5" s="16" t="s">
        <v>52</v>
      </c>
      <c r="K5" s="16" t="s">
        <v>52</v>
      </c>
      <c r="L5" s="14" t="n">
        <v>48</v>
      </c>
      <c r="M5" s="14" t="n">
        <v>17.5</v>
      </c>
      <c r="N5" s="14" t="n">
        <v>0.09</v>
      </c>
      <c r="O5" s="9" t="n">
        <f aca="false">IF(L5&gt;0,M5/L5,0)</f>
        <v>0.364583333333333</v>
      </c>
      <c r="P5" s="9" t="n">
        <f aca="false">IF(L5&gt;0,N5/L5,0)</f>
        <v>0.001875</v>
      </c>
      <c r="Q5" s="11" t="str">
        <f aca="false">IF(P5&gt;=Summary!$B$6,"Holds","Loses water")</f>
        <v>Loses water</v>
      </c>
      <c r="R5" s="16" t="s">
        <v>53</v>
      </c>
      <c r="S5" s="11" t="str">
        <f aca="false">IF(AND(E5="Flood",J5="On",OR(H5="On",K5="On"),C5&lt;Summary!$B$7),"Yes","No")</f>
        <v>Yes</v>
      </c>
      <c r="T5" s="11" t="str">
        <f aca="false">IF((S5="Yes")=(Q5="Loses water"),"Match","Mismatch")</f>
        <v>Match</v>
      </c>
    </row>
    <row r="6" customFormat="false" ht="15" hidden="false" customHeight="false" outlineLevel="0" collapsed="false">
      <c r="A6" s="11" t="s">
        <v>54</v>
      </c>
      <c r="B6" s="11" t="s">
        <v>50</v>
      </c>
      <c r="C6" s="14" t="n">
        <v>3.86</v>
      </c>
      <c r="D6" s="15" t="n">
        <v>2378</v>
      </c>
      <c r="E6" s="16" t="s">
        <v>51</v>
      </c>
      <c r="F6" s="16" t="n">
        <v>4</v>
      </c>
      <c r="G6" s="16" t="n">
        <v>9</v>
      </c>
      <c r="H6" s="16" t="s">
        <v>52</v>
      </c>
      <c r="I6" s="16" t="s">
        <v>52</v>
      </c>
      <c r="J6" s="16" t="s">
        <v>52</v>
      </c>
      <c r="K6" s="16" t="s">
        <v>52</v>
      </c>
      <c r="L6" s="14" t="n">
        <v>48</v>
      </c>
      <c r="M6" s="14" t="n">
        <v>22.49</v>
      </c>
      <c r="N6" s="14" t="n">
        <v>0.46</v>
      </c>
      <c r="O6" s="9" t="n">
        <f aca="false">IF(L6&gt;0,M6/L6,0)</f>
        <v>0.468541666666667</v>
      </c>
      <c r="P6" s="9" t="n">
        <f aca="false">IF(L6&gt;0,N6/L6,0)</f>
        <v>0.00958333333333333</v>
      </c>
      <c r="Q6" s="11" t="str">
        <f aca="false">IF(P6&gt;=Summary!$B$6,"Holds","Loses water")</f>
        <v>Loses water</v>
      </c>
      <c r="R6" s="16" t="s">
        <v>53</v>
      </c>
      <c r="S6" s="11" t="str">
        <f aca="false">IF(AND(E6="Flood",J6="On",OR(H6="On",K6="On"),C6&lt;Summary!$B$7),"Yes","No")</f>
        <v>Yes</v>
      </c>
      <c r="T6" s="11" t="str">
        <f aca="false">IF((S6="Yes")=(Q6="Loses water"),"Match","Mismatch")</f>
        <v>Match</v>
      </c>
    </row>
    <row r="7" customFormat="false" ht="15" hidden="false" customHeight="false" outlineLevel="0" collapsed="false">
      <c r="A7" s="11" t="s">
        <v>55</v>
      </c>
      <c r="B7" s="11" t="s">
        <v>56</v>
      </c>
      <c r="C7" s="14" t="n">
        <v>3.95</v>
      </c>
      <c r="D7" s="15" t="n">
        <v>0</v>
      </c>
      <c r="E7" s="16" t="s">
        <v>51</v>
      </c>
      <c r="F7" s="16" t="n">
        <v>4</v>
      </c>
      <c r="G7" s="16" t="n">
        <v>9</v>
      </c>
      <c r="H7" s="16" t="s">
        <v>57</v>
      </c>
      <c r="I7" s="16" t="s">
        <v>52</v>
      </c>
      <c r="J7" s="16" t="s">
        <v>52</v>
      </c>
      <c r="K7" s="16" t="s">
        <v>57</v>
      </c>
      <c r="L7" s="14" t="n">
        <v>48</v>
      </c>
      <c r="M7" s="14" t="n">
        <v>48</v>
      </c>
      <c r="N7" s="14" t="n">
        <v>48</v>
      </c>
      <c r="O7" s="9" t="n">
        <f aca="false">IF(L7&gt;0,M7/L7,0)</f>
        <v>1</v>
      </c>
      <c r="P7" s="9" t="n">
        <f aca="false">IF(L7&gt;0,N7/L7,0)</f>
        <v>1</v>
      </c>
      <c r="Q7" s="11" t="str">
        <f aca="false">IF(P7&gt;=Summary!$B$6,"Holds","Loses water")</f>
        <v>Holds</v>
      </c>
      <c r="R7" s="16" t="s">
        <v>58</v>
      </c>
      <c r="S7" s="11" t="str">
        <f aca="false">IF(AND(E7="Flood",J7="On",OR(H7="On",K7="On"),C7&lt;Summary!$B$7),"Yes","No")</f>
        <v>No</v>
      </c>
      <c r="T7" s="11" t="str">
        <f aca="false">IF((S7="Yes")=(Q7="Loses water"),"Match","Mismatch")</f>
        <v>Match</v>
      </c>
    </row>
    <row r="8" customFormat="false" ht="15" hidden="false" customHeight="false" outlineLevel="0" collapsed="false">
      <c r="A8" s="11" t="s">
        <v>59</v>
      </c>
      <c r="B8" s="11" t="s">
        <v>60</v>
      </c>
      <c r="C8" s="14" t="n">
        <v>11.82</v>
      </c>
      <c r="D8" s="15" t="n">
        <v>699</v>
      </c>
      <c r="E8" s="16" t="s">
        <v>51</v>
      </c>
      <c r="F8" s="16" t="n">
        <v>4</v>
      </c>
      <c r="G8" s="16" t="n">
        <v>9</v>
      </c>
      <c r="H8" s="16" t="s">
        <v>52</v>
      </c>
      <c r="I8" s="16" t="s">
        <v>52</v>
      </c>
      <c r="J8" s="16" t="s">
        <v>52</v>
      </c>
      <c r="K8" s="16" t="s">
        <v>52</v>
      </c>
      <c r="L8" s="14" t="n">
        <v>48</v>
      </c>
      <c r="M8" s="14" t="n">
        <v>48</v>
      </c>
      <c r="N8" s="14" t="n">
        <v>48</v>
      </c>
      <c r="O8" s="9" t="n">
        <f aca="false">IF(L8&gt;0,M8/L8,0)</f>
        <v>1</v>
      </c>
      <c r="P8" s="9" t="n">
        <f aca="false">IF(L8&gt;0,N8/L8,0)</f>
        <v>1</v>
      </c>
      <c r="Q8" s="11" t="str">
        <f aca="false">IF(P8&gt;=Summary!$B$6,"Holds","Loses water")</f>
        <v>Holds</v>
      </c>
      <c r="R8" s="16" t="s">
        <v>58</v>
      </c>
      <c r="S8" s="11" t="str">
        <f aca="false">IF(AND(E8="Flood",J8="On",OR(H8="On",K8="On"),C8&lt;Summary!$B$7),"Yes","No")</f>
        <v>No</v>
      </c>
      <c r="T8" s="11" t="str">
        <f aca="false">IF((S8="Yes")=(Q8="Loses water"),"Match","Mismatch")</f>
        <v>Match</v>
      </c>
    </row>
    <row r="9" customFormat="false" ht="15" hidden="false" customHeight="false" outlineLevel="0" collapsed="false">
      <c r="A9" s="11" t="s">
        <v>59</v>
      </c>
      <c r="B9" s="11" t="s">
        <v>61</v>
      </c>
      <c r="C9" s="14" t="n">
        <v>11.83</v>
      </c>
      <c r="D9" s="15" t="n">
        <v>709</v>
      </c>
      <c r="E9" s="16" t="s">
        <v>62</v>
      </c>
      <c r="F9" s="16" t="n">
        <v>4</v>
      </c>
      <c r="G9" s="16" t="n">
        <v>9</v>
      </c>
      <c r="H9" s="16" t="s">
        <v>52</v>
      </c>
      <c r="I9" s="16" t="s">
        <v>52</v>
      </c>
      <c r="J9" s="16" t="s">
        <v>52</v>
      </c>
      <c r="K9" s="16" t="s">
        <v>52</v>
      </c>
      <c r="L9" s="14" t="n">
        <v>48</v>
      </c>
      <c r="M9" s="14" t="n">
        <v>48</v>
      </c>
      <c r="N9" s="14" t="n">
        <v>48</v>
      </c>
      <c r="O9" s="9" t="n">
        <f aca="false">IF(L9&gt;0,M9/L9,0)</f>
        <v>1</v>
      </c>
      <c r="P9" s="9" t="n">
        <f aca="false">IF(L9&gt;0,N9/L9,0)</f>
        <v>1</v>
      </c>
      <c r="Q9" s="11" t="str">
        <f aca="false">IF(P9&gt;=Summary!$B$6,"Holds","Loses water")</f>
        <v>Holds</v>
      </c>
      <c r="R9" s="16" t="s">
        <v>58</v>
      </c>
      <c r="S9" s="11" t="str">
        <f aca="false">IF(AND(E9="Flood",J9="On",OR(H9="On",K9="On"),C9&lt;Summary!$B$7),"Yes","No")</f>
        <v>No</v>
      </c>
      <c r="T9" s="11" t="str">
        <f aca="false">IF((S9="Yes")=(Q9="Loses water"),"Match","Mismatch")</f>
        <v>Match</v>
      </c>
    </row>
    <row r="10" customFormat="false" ht="15" hidden="false" customHeight="false" outlineLevel="0" collapsed="false">
      <c r="A10" s="11" t="s">
        <v>59</v>
      </c>
      <c r="B10" s="11" t="s">
        <v>63</v>
      </c>
      <c r="C10" s="14" t="n">
        <v>11.83</v>
      </c>
      <c r="D10" s="15" t="n">
        <v>709</v>
      </c>
      <c r="E10" s="16" t="s">
        <v>51</v>
      </c>
      <c r="F10" s="16" t="n">
        <v>4</v>
      </c>
      <c r="G10" s="16" t="n">
        <v>9</v>
      </c>
      <c r="H10" s="16" t="s">
        <v>52</v>
      </c>
      <c r="I10" s="16" t="s">
        <v>52</v>
      </c>
      <c r="J10" s="16" t="s">
        <v>57</v>
      </c>
      <c r="K10" s="16" t="s">
        <v>52</v>
      </c>
      <c r="L10" s="14" t="n">
        <v>48</v>
      </c>
      <c r="M10" s="14" t="n">
        <v>48</v>
      </c>
      <c r="N10" s="14" t="n">
        <v>48</v>
      </c>
      <c r="O10" s="9" t="n">
        <f aca="false">IF(L10&gt;0,M10/L10,0)</f>
        <v>1</v>
      </c>
      <c r="P10" s="9" t="n">
        <f aca="false">IF(L10&gt;0,N10/L10,0)</f>
        <v>1</v>
      </c>
      <c r="Q10" s="11" t="str">
        <f aca="false">IF(P10&gt;=Summary!$B$6,"Holds","Loses water")</f>
        <v>Holds</v>
      </c>
      <c r="R10" s="16" t="s">
        <v>58</v>
      </c>
      <c r="S10" s="11" t="str">
        <f aca="false">IF(AND(E10="Flood",J10="On",OR(H10="On",K10="On"),C10&lt;Summary!$B$7),"Yes","No")</f>
        <v>No</v>
      </c>
      <c r="T10" s="11" t="str">
        <f aca="false">IF((S10="Yes")=(Q10="Loses water"),"Match","Mismatch")</f>
        <v>Match</v>
      </c>
    </row>
    <row r="11" customFormat="false" ht="15" hidden="false" customHeight="false" outlineLevel="0" collapsed="false">
      <c r="A11" s="11" t="s">
        <v>59</v>
      </c>
      <c r="B11" s="11" t="s">
        <v>64</v>
      </c>
      <c r="C11" s="14" t="n">
        <v>11.83</v>
      </c>
      <c r="D11" s="15" t="n">
        <v>709</v>
      </c>
      <c r="E11" s="16" t="s">
        <v>51</v>
      </c>
      <c r="F11" s="16" t="n">
        <v>4</v>
      </c>
      <c r="G11" s="16" t="n">
        <v>1</v>
      </c>
      <c r="H11" s="16" t="s">
        <v>52</v>
      </c>
      <c r="I11" s="16" t="s">
        <v>52</v>
      </c>
      <c r="J11" s="16" t="s">
        <v>57</v>
      </c>
      <c r="K11" s="16" t="s">
        <v>52</v>
      </c>
      <c r="L11" s="14" t="n">
        <v>48</v>
      </c>
      <c r="M11" s="14" t="n">
        <v>48</v>
      </c>
      <c r="N11" s="14" t="n">
        <v>48</v>
      </c>
      <c r="O11" s="9" t="n">
        <f aca="false">IF(L11&gt;0,M11/L11,0)</f>
        <v>1</v>
      </c>
      <c r="P11" s="9" t="n">
        <f aca="false">IF(L11&gt;0,N11/L11,0)</f>
        <v>1</v>
      </c>
      <c r="Q11" s="11" t="str">
        <f aca="false">IF(P11&gt;=Summary!$B$6,"Holds","Loses water")</f>
        <v>Holds</v>
      </c>
      <c r="R11" s="16" t="s">
        <v>58</v>
      </c>
      <c r="S11" s="11" t="str">
        <f aca="false">IF(AND(E11="Flood",J11="On",OR(H11="On",K11="On"),C11&lt;Summary!$B$7),"Yes","No")</f>
        <v>No</v>
      </c>
      <c r="T11" s="11" t="str">
        <f aca="false">IF((S11="Yes")=(Q11="Loses water"),"Match","Mismatch")</f>
        <v>Match</v>
      </c>
    </row>
    <row r="12" customFormat="false" ht="15" hidden="false" customHeight="false" outlineLevel="0" collapsed="false">
      <c r="A12" s="11" t="s">
        <v>59</v>
      </c>
      <c r="B12" s="11" t="s">
        <v>65</v>
      </c>
      <c r="C12" s="14" t="n">
        <v>11.83</v>
      </c>
      <c r="D12" s="15" t="n">
        <v>709</v>
      </c>
      <c r="E12" s="16" t="s">
        <v>62</v>
      </c>
      <c r="F12" s="16" t="n">
        <v>1</v>
      </c>
      <c r="G12" s="16" t="n">
        <v>1</v>
      </c>
      <c r="H12" s="16" t="s">
        <v>52</v>
      </c>
      <c r="I12" s="16" t="s">
        <v>52</v>
      </c>
      <c r="J12" s="16" t="s">
        <v>57</v>
      </c>
      <c r="K12" s="16" t="s">
        <v>52</v>
      </c>
      <c r="L12" s="14" t="n">
        <v>48</v>
      </c>
      <c r="M12" s="14" t="n">
        <v>48</v>
      </c>
      <c r="N12" s="14" t="n">
        <v>48</v>
      </c>
      <c r="O12" s="9" t="n">
        <f aca="false">IF(L12&gt;0,M12/L12,0)</f>
        <v>1</v>
      </c>
      <c r="P12" s="9" t="n">
        <f aca="false">IF(L12&gt;0,N12/L12,0)</f>
        <v>1</v>
      </c>
      <c r="Q12" s="11" t="str">
        <f aca="false">IF(P12&gt;=Summary!$B$6,"Holds","Loses water")</f>
        <v>Holds</v>
      </c>
      <c r="R12" s="16" t="s">
        <v>58</v>
      </c>
      <c r="S12" s="11" t="str">
        <f aca="false">IF(AND(E12="Flood",J12="On",OR(H12="On",K12="On"),C12&lt;Summary!$B$7),"Yes","No")</f>
        <v>No</v>
      </c>
      <c r="T12" s="11" t="str">
        <f aca="false">IF((S12="Yes")=(Q12="Loses water"),"Match","Mismatch")</f>
        <v>Match</v>
      </c>
    </row>
    <row r="13" customFormat="false" ht="15" hidden="false" customHeight="false" outlineLevel="0" collapsed="false">
      <c r="A13" s="11" t="s">
        <v>59</v>
      </c>
      <c r="B13" s="11" t="s">
        <v>66</v>
      </c>
      <c r="C13" s="14" t="n">
        <v>11.83</v>
      </c>
      <c r="D13" s="15" t="n">
        <v>709</v>
      </c>
      <c r="E13" s="16" t="s">
        <v>51</v>
      </c>
      <c r="F13" s="16" t="n">
        <v>4</v>
      </c>
      <c r="G13" s="16" t="n">
        <v>9</v>
      </c>
      <c r="H13" s="16" t="s">
        <v>52</v>
      </c>
      <c r="I13" s="16" t="s">
        <v>57</v>
      </c>
      <c r="J13" s="16" t="s">
        <v>57</v>
      </c>
      <c r="K13" s="16" t="s">
        <v>57</v>
      </c>
      <c r="L13" s="14" t="n">
        <v>48</v>
      </c>
      <c r="M13" s="14" t="n">
        <v>48</v>
      </c>
      <c r="N13" s="14" t="n">
        <v>48</v>
      </c>
      <c r="O13" s="9" t="n">
        <f aca="false">IF(L13&gt;0,M13/L13,0)</f>
        <v>1</v>
      </c>
      <c r="P13" s="9" t="n">
        <f aca="false">IF(L13&gt;0,N13/L13,0)</f>
        <v>1</v>
      </c>
      <c r="Q13" s="11" t="str">
        <f aca="false">IF(P13&gt;=Summary!$B$6,"Holds","Loses water")</f>
        <v>Holds</v>
      </c>
      <c r="R13" s="16" t="s">
        <v>58</v>
      </c>
      <c r="S13" s="11" t="str">
        <f aca="false">IF(AND(E13="Flood",J13="On",OR(H13="On",K13="On"),C13&lt;Summary!$B$7),"Yes","No")</f>
        <v>No</v>
      </c>
      <c r="T13" s="11" t="str">
        <f aca="false">IF((S13="Yes")=(Q13="Loses water"),"Match","Mismatch")</f>
        <v>Match</v>
      </c>
    </row>
    <row r="14" customFormat="false" ht="15" hidden="false" customHeight="false" outlineLevel="0" collapsed="false">
      <c r="A14" s="11" t="s">
        <v>67</v>
      </c>
      <c r="B14" s="11" t="s">
        <v>60</v>
      </c>
      <c r="C14" s="14" t="n">
        <v>3.31</v>
      </c>
      <c r="D14" s="15" t="n">
        <v>3905</v>
      </c>
      <c r="E14" s="16" t="s">
        <v>51</v>
      </c>
      <c r="F14" s="16" t="n">
        <v>4</v>
      </c>
      <c r="G14" s="16" t="n">
        <v>9</v>
      </c>
      <c r="H14" s="16" t="s">
        <v>52</v>
      </c>
      <c r="I14" s="16" t="s">
        <v>52</v>
      </c>
      <c r="J14" s="16" t="s">
        <v>52</v>
      </c>
      <c r="K14" s="16" t="s">
        <v>52</v>
      </c>
      <c r="L14" s="14" t="n">
        <v>48</v>
      </c>
      <c r="M14" s="14" t="n">
        <v>18.86</v>
      </c>
      <c r="N14" s="14" t="n">
        <v>0.17</v>
      </c>
      <c r="O14" s="9" t="n">
        <f aca="false">IF(L14&gt;0,M14/L14,0)</f>
        <v>0.392916666666667</v>
      </c>
      <c r="P14" s="9" t="n">
        <f aca="false">IF(L14&gt;0,N14/L14,0)</f>
        <v>0.00354166666666667</v>
      </c>
      <c r="Q14" s="11" t="str">
        <f aca="false">IF(P14&gt;=Summary!$B$6,"Holds","Loses water")</f>
        <v>Loses water</v>
      </c>
      <c r="R14" s="16" t="s">
        <v>53</v>
      </c>
      <c r="S14" s="11" t="str">
        <f aca="false">IF(AND(E14="Flood",J14="On",OR(H14="On",K14="On"),C14&lt;Summary!$B$7),"Yes","No")</f>
        <v>Yes</v>
      </c>
      <c r="T14" s="11" t="str">
        <f aca="false">IF((S14="Yes")=(Q14="Loses water"),"Match","Mismatch")</f>
        <v>Match</v>
      </c>
    </row>
    <row r="15" customFormat="false" ht="15" hidden="false" customHeight="false" outlineLevel="0" collapsed="false">
      <c r="A15" s="11" t="s">
        <v>67</v>
      </c>
      <c r="B15" s="11" t="s">
        <v>61</v>
      </c>
      <c r="C15" s="14" t="n">
        <v>3.98</v>
      </c>
      <c r="D15" s="15" t="n">
        <v>3445</v>
      </c>
      <c r="E15" s="16" t="s">
        <v>62</v>
      </c>
      <c r="F15" s="16" t="n">
        <v>4</v>
      </c>
      <c r="G15" s="16" t="n">
        <v>9</v>
      </c>
      <c r="H15" s="16" t="s">
        <v>52</v>
      </c>
      <c r="I15" s="16" t="s">
        <v>52</v>
      </c>
      <c r="J15" s="16" t="s">
        <v>52</v>
      </c>
      <c r="K15" s="16" t="s">
        <v>52</v>
      </c>
      <c r="L15" s="14" t="n">
        <v>48</v>
      </c>
      <c r="M15" s="14" t="n">
        <v>48</v>
      </c>
      <c r="N15" s="14" t="n">
        <v>48</v>
      </c>
      <c r="O15" s="9" t="n">
        <f aca="false">IF(L15&gt;0,M15/L15,0)</f>
        <v>1</v>
      </c>
      <c r="P15" s="9" t="n">
        <f aca="false">IF(L15&gt;0,N15/L15,0)</f>
        <v>1</v>
      </c>
      <c r="Q15" s="11" t="str">
        <f aca="false">IF(P15&gt;=Summary!$B$6,"Holds","Loses water")</f>
        <v>Holds</v>
      </c>
      <c r="R15" s="16" t="s">
        <v>53</v>
      </c>
      <c r="S15" s="11" t="str">
        <f aca="false">IF(AND(E15="Flood",J15="On",OR(H15="On",K15="On"),C15&lt;Summary!$B$7),"Yes","No")</f>
        <v>No</v>
      </c>
      <c r="T15" s="11" t="str">
        <f aca="false">IF((S15="Yes")=(Q15="Loses water"),"Match","Mismatch")</f>
        <v>Match</v>
      </c>
    </row>
    <row r="16" customFormat="false" ht="15" hidden="false" customHeight="false" outlineLevel="0" collapsed="false">
      <c r="A16" s="11" t="s">
        <v>67</v>
      </c>
      <c r="B16" s="11" t="s">
        <v>63</v>
      </c>
      <c r="C16" s="14" t="n">
        <v>3.98</v>
      </c>
      <c r="D16" s="15" t="n">
        <v>3445</v>
      </c>
      <c r="E16" s="16" t="s">
        <v>51</v>
      </c>
      <c r="F16" s="16" t="n">
        <v>4</v>
      </c>
      <c r="G16" s="16" t="n">
        <v>9</v>
      </c>
      <c r="H16" s="16" t="s">
        <v>52</v>
      </c>
      <c r="I16" s="16" t="s">
        <v>52</v>
      </c>
      <c r="J16" s="16" t="s">
        <v>57</v>
      </c>
      <c r="K16" s="16" t="s">
        <v>52</v>
      </c>
      <c r="L16" s="14" t="n">
        <v>48</v>
      </c>
      <c r="M16" s="14" t="n">
        <v>48</v>
      </c>
      <c r="N16" s="14" t="n">
        <v>48</v>
      </c>
      <c r="O16" s="9" t="n">
        <f aca="false">IF(L16&gt;0,M16/L16,0)</f>
        <v>1</v>
      </c>
      <c r="P16" s="9" t="n">
        <f aca="false">IF(L16&gt;0,N16/L16,0)</f>
        <v>1</v>
      </c>
      <c r="Q16" s="11" t="str">
        <f aca="false">IF(P16&gt;=Summary!$B$6,"Holds","Loses water")</f>
        <v>Holds</v>
      </c>
      <c r="R16" s="16" t="s">
        <v>53</v>
      </c>
      <c r="S16" s="11" t="str">
        <f aca="false">IF(AND(E16="Flood",J16="On",OR(H16="On",K16="On"),C16&lt;Summary!$B$7),"Yes","No")</f>
        <v>No</v>
      </c>
      <c r="T16" s="11" t="str">
        <f aca="false">IF((S16="Yes")=(Q16="Loses water"),"Match","Mismatch")</f>
        <v>Match</v>
      </c>
    </row>
    <row r="17" customFormat="false" ht="15" hidden="false" customHeight="false" outlineLevel="0" collapsed="false">
      <c r="A17" s="11" t="s">
        <v>67</v>
      </c>
      <c r="B17" s="11" t="s">
        <v>64</v>
      </c>
      <c r="C17" s="14" t="n">
        <v>3.98</v>
      </c>
      <c r="D17" s="15" t="n">
        <v>3445</v>
      </c>
      <c r="E17" s="16" t="s">
        <v>51</v>
      </c>
      <c r="F17" s="16" t="n">
        <v>4</v>
      </c>
      <c r="G17" s="16" t="n">
        <v>1</v>
      </c>
      <c r="H17" s="16" t="s">
        <v>52</v>
      </c>
      <c r="I17" s="16" t="s">
        <v>52</v>
      </c>
      <c r="J17" s="16" t="s">
        <v>57</v>
      </c>
      <c r="K17" s="16" t="s">
        <v>52</v>
      </c>
      <c r="L17" s="14" t="n">
        <v>48</v>
      </c>
      <c r="M17" s="14" t="n">
        <v>48</v>
      </c>
      <c r="N17" s="14" t="n">
        <v>48</v>
      </c>
      <c r="O17" s="9" t="n">
        <f aca="false">IF(L17&gt;0,M17/L17,0)</f>
        <v>1</v>
      </c>
      <c r="P17" s="9" t="n">
        <f aca="false">IF(L17&gt;0,N17/L17,0)</f>
        <v>1</v>
      </c>
      <c r="Q17" s="11" t="str">
        <f aca="false">IF(P17&gt;=Summary!$B$6,"Holds","Loses water")</f>
        <v>Holds</v>
      </c>
      <c r="R17" s="16" t="s">
        <v>53</v>
      </c>
      <c r="S17" s="11" t="str">
        <f aca="false">IF(AND(E17="Flood",J17="On",OR(H17="On",K17="On"),C17&lt;Summary!$B$7),"Yes","No")</f>
        <v>No</v>
      </c>
      <c r="T17" s="11" t="str">
        <f aca="false">IF((S17="Yes")=(Q17="Loses water"),"Match","Mismatch")</f>
        <v>Match</v>
      </c>
    </row>
    <row r="18" customFormat="false" ht="15" hidden="false" customHeight="false" outlineLevel="0" collapsed="false">
      <c r="A18" s="11" t="s">
        <v>67</v>
      </c>
      <c r="B18" s="11" t="s">
        <v>65</v>
      </c>
      <c r="C18" s="14" t="n">
        <v>3.98</v>
      </c>
      <c r="D18" s="15" t="n">
        <v>3445</v>
      </c>
      <c r="E18" s="16" t="s">
        <v>62</v>
      </c>
      <c r="F18" s="16" t="n">
        <v>1</v>
      </c>
      <c r="G18" s="16" t="n">
        <v>1</v>
      </c>
      <c r="H18" s="16" t="s">
        <v>52</v>
      </c>
      <c r="I18" s="16" t="s">
        <v>52</v>
      </c>
      <c r="J18" s="16" t="s">
        <v>57</v>
      </c>
      <c r="K18" s="16" t="s">
        <v>52</v>
      </c>
      <c r="L18" s="14" t="n">
        <v>48</v>
      </c>
      <c r="M18" s="14" t="n">
        <v>48</v>
      </c>
      <c r="N18" s="14" t="n">
        <v>48</v>
      </c>
      <c r="O18" s="9" t="n">
        <f aca="false">IF(L18&gt;0,M18/L18,0)</f>
        <v>1</v>
      </c>
      <c r="P18" s="9" t="n">
        <f aca="false">IF(L18&gt;0,N18/L18,0)</f>
        <v>1</v>
      </c>
      <c r="Q18" s="11" t="str">
        <f aca="false">IF(P18&gt;=Summary!$B$6,"Holds","Loses water")</f>
        <v>Holds</v>
      </c>
      <c r="R18" s="16" t="s">
        <v>53</v>
      </c>
      <c r="S18" s="11" t="str">
        <f aca="false">IF(AND(E18="Flood",J18="On",OR(H18="On",K18="On"),C18&lt;Summary!$B$7),"Yes","No")</f>
        <v>No</v>
      </c>
      <c r="T18" s="11" t="str">
        <f aca="false">IF((S18="Yes")=(Q18="Loses water"),"Match","Mismatch")</f>
        <v>Match</v>
      </c>
    </row>
    <row r="19" customFormat="false" ht="15" hidden="false" customHeight="false" outlineLevel="0" collapsed="false">
      <c r="A19" s="11" t="s">
        <v>67</v>
      </c>
      <c r="B19" s="11" t="s">
        <v>66</v>
      </c>
      <c r="C19" s="14" t="n">
        <v>3.98</v>
      </c>
      <c r="D19" s="15" t="n">
        <v>3445</v>
      </c>
      <c r="E19" s="16" t="s">
        <v>51</v>
      </c>
      <c r="F19" s="16" t="n">
        <v>4</v>
      </c>
      <c r="G19" s="16" t="n">
        <v>9</v>
      </c>
      <c r="H19" s="16" t="s">
        <v>52</v>
      </c>
      <c r="I19" s="16" t="s">
        <v>57</v>
      </c>
      <c r="J19" s="16" t="s">
        <v>57</v>
      </c>
      <c r="K19" s="16" t="s">
        <v>57</v>
      </c>
      <c r="L19" s="14" t="n">
        <v>48</v>
      </c>
      <c r="M19" s="14" t="n">
        <v>48</v>
      </c>
      <c r="N19" s="14" t="n">
        <v>48</v>
      </c>
      <c r="O19" s="9" t="n">
        <f aca="false">IF(L19&gt;0,M19/L19,0)</f>
        <v>1</v>
      </c>
      <c r="P19" s="9" t="n">
        <f aca="false">IF(L19&gt;0,N19/L19,0)</f>
        <v>1</v>
      </c>
      <c r="Q19" s="11" t="str">
        <f aca="false">IF(P19&gt;=Summary!$B$6,"Holds","Loses water")</f>
        <v>Holds</v>
      </c>
      <c r="R19" s="16" t="s">
        <v>53</v>
      </c>
      <c r="S19" s="11" t="str">
        <f aca="false">IF(AND(E19="Flood",J19="On",OR(H19="On",K19="On"),C19&lt;Summary!$B$7),"Yes","No")</f>
        <v>No</v>
      </c>
      <c r="T19" s="11" t="str">
        <f aca="false">IF((S19="Yes")=(Q19="Loses water"),"Match","Mismatch")</f>
        <v>Match</v>
      </c>
    </row>
    <row r="21" customFormat="false" ht="15" hidden="false" customHeight="false" outlineLevel="0" collapsed="false">
      <c r="A21" s="13" t="s">
        <v>68</v>
      </c>
    </row>
  </sheetData>
  <autoFilter ref="A4:T19"/>
  <conditionalFormatting sqref="Q5:Q19">
    <cfRule type="cellIs" priority="2" operator="equal" aboveAverage="0" equalAverage="0" bottom="0" percent="0" rank="0" text="" dxfId="6">
      <formula>"Loses water"</formula>
    </cfRule>
    <cfRule type="cellIs" priority="3" operator="equal" aboveAverage="0" equalAverage="0" bottom="0" percent="0" rank="0" text="" dxfId="7">
      <formula>"Holds"</formula>
    </cfRule>
  </conditionalFormatting>
  <conditionalFormatting sqref="T5:T19">
    <cfRule type="cellIs" priority="4" operator="equal" aboveAverage="0" equalAverage="0" bottom="0" percent="0" rank="0" text="" dxfId="6">
      <formula>"Mismatch"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69</v>
      </c>
    </row>
    <row r="3" customFormat="false" ht="15" hidden="false" customHeight="false" outlineLevel="0" collapsed="false">
      <c r="A3" s="10" t="s">
        <v>70</v>
      </c>
      <c r="B3" s="10" t="s">
        <v>71</v>
      </c>
    </row>
    <row r="4" customFormat="false" ht="33.75" hidden="false" customHeight="true" outlineLevel="0" collapsed="false">
      <c r="A4" s="17" t="s">
        <v>72</v>
      </c>
      <c r="B4" s="18" t="s">
        <v>73</v>
      </c>
    </row>
    <row r="5" customFormat="false" ht="33.75" hidden="false" customHeight="true" outlineLevel="0" collapsed="false">
      <c r="A5" s="17" t="s">
        <v>72</v>
      </c>
      <c r="B5" s="18" t="s">
        <v>74</v>
      </c>
    </row>
    <row r="6" customFormat="false" ht="33.75" hidden="false" customHeight="true" outlineLevel="0" collapsed="false">
      <c r="A6" s="17" t="s">
        <v>72</v>
      </c>
      <c r="B6" s="18" t="s">
        <v>75</v>
      </c>
    </row>
    <row r="7" customFormat="false" ht="33.75" hidden="false" customHeight="true" outlineLevel="0" collapsed="false">
      <c r="A7" s="17" t="s">
        <v>76</v>
      </c>
      <c r="B7" s="18" t="s">
        <v>77</v>
      </c>
    </row>
    <row r="8" customFormat="false" ht="33.75" hidden="false" customHeight="true" outlineLevel="0" collapsed="false">
      <c r="A8" s="17" t="s">
        <v>76</v>
      </c>
      <c r="B8" s="18" t="s">
        <v>78</v>
      </c>
    </row>
    <row r="9" customFormat="false" ht="33.75" hidden="false" customHeight="true" outlineLevel="0" collapsed="false">
      <c r="A9" s="17" t="s">
        <v>76</v>
      </c>
      <c r="B9" s="18" t="s">
        <v>79</v>
      </c>
    </row>
    <row r="10" customFormat="false" ht="48.75" hidden="false" customHeight="true" outlineLevel="0" collapsed="false">
      <c r="A10" s="17" t="s">
        <v>80</v>
      </c>
      <c r="B10" s="18" t="s">
        <v>81</v>
      </c>
    </row>
    <row r="11" customFormat="false" ht="33.75" hidden="false" customHeight="true" outlineLevel="0" collapsed="false">
      <c r="A11" s="17" t="s">
        <v>80</v>
      </c>
      <c r="B11" s="18" t="s">
        <v>82</v>
      </c>
    </row>
    <row r="12" customFormat="false" ht="33.75" hidden="false" customHeight="true" outlineLevel="0" collapsed="false">
      <c r="A12" s="17" t="s">
        <v>83</v>
      </c>
      <c r="B12" s="18" t="s">
        <v>84</v>
      </c>
    </row>
    <row r="13" customFormat="false" ht="48.75" hidden="false" customHeight="true" outlineLevel="0" collapsed="false">
      <c r="A13" s="17" t="s">
        <v>83</v>
      </c>
      <c r="B13" s="18" t="s">
        <v>85</v>
      </c>
    </row>
    <row r="14" customFormat="false" ht="18.75" hidden="false" customHeight="true" outlineLevel="0" collapsed="false">
      <c r="A14" s="17" t="s">
        <v>83</v>
      </c>
      <c r="B14" s="18" t="s">
        <v>86</v>
      </c>
    </row>
    <row r="15" customFormat="false" ht="18.75" hidden="false" customHeight="true" outlineLevel="0" collapsed="false">
      <c r="A15" s="17" t="s">
        <v>87</v>
      </c>
      <c r="B15" s="18" t="s">
        <v>88</v>
      </c>
    </row>
    <row r="16" customFormat="false" ht="18.75" hidden="false" customHeight="true" outlineLevel="0" collapsed="false">
      <c r="A16" s="17" t="s">
        <v>89</v>
      </c>
      <c r="B16" s="18" t="s">
        <v>90</v>
      </c>
    </row>
    <row r="17" customFormat="false" ht="18.75" hidden="false" customHeight="true" outlineLevel="0" collapsed="false">
      <c r="A17" s="17" t="s">
        <v>91</v>
      </c>
      <c r="B17" s="18" t="s">
        <v>92</v>
      </c>
    </row>
    <row r="18" customFormat="false" ht="18.75" hidden="false" customHeight="true" outlineLevel="0" collapsed="false">
      <c r="A18" s="17" t="s">
        <v>93</v>
      </c>
      <c r="B18" s="18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2026-10-18T14:25:15Z</dcterms:created>
  <dc:creator>openpyxl</dc:creator>
  <dc:description/>
  <dc:language>en-US</dc:language>
  <cp:lastModifiedBy/>
  <dcterms:modified xsi:type="dcterms:W3CDTF">2026-10-18T14:25:15Z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